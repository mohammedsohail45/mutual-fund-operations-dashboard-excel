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firstSheet="1" activeTab="5"/>
  </bookViews>
  <sheets>
    <sheet name="Transactions_Data" sheetId="1" r:id="rId1"/>
    <sheet name="AUM Analysis" sheetId="4" r:id="rId2"/>
    <sheet name="Transaction Breakdown" sheetId="5" r:id="rId3"/>
    <sheet name="Monthly Trend" sheetId="6" r:id="rId4"/>
    <sheet name="Status Report" sheetId="7" r:id="rId5"/>
    <sheet name="Dashboard" sheetId="8" r:id="rId6"/>
  </sheets>
  <calcPr calcId="124519"/>
  <pivotCaches>
    <pivotCache cacheId="15" r:id="rId7"/>
  </pivotCaches>
</workbook>
</file>

<file path=xl/calcChain.xml><?xml version="1.0" encoding="utf-8"?>
<calcChain xmlns="http://schemas.openxmlformats.org/spreadsheetml/2006/main">
  <c r="B4" i="8"/>
  <c r="B3"/>
  <c r="B2"/>
  <c r="B1"/>
  <c r="M2" i="1"/>
  <c r="M3"/>
  <c r="M4"/>
  <c r="M5"/>
  <c r="M6"/>
  <c r="M7"/>
  <c r="M8"/>
  <c r="M9"/>
  <c r="M10"/>
  <c r="M11"/>
  <c r="L2"/>
  <c r="N5" s="1"/>
  <c r="L3"/>
  <c r="L4"/>
  <c r="L5"/>
  <c r="L6"/>
  <c r="L7"/>
  <c r="L8"/>
  <c r="L9"/>
  <c r="L10"/>
  <c r="L11"/>
  <c r="N10" l="1"/>
  <c r="N6"/>
  <c r="N2"/>
  <c r="N11"/>
  <c r="N7"/>
  <c r="N3"/>
  <c r="N8"/>
  <c r="N4"/>
  <c r="N9"/>
</calcChain>
</file>

<file path=xl/sharedStrings.xml><?xml version="1.0" encoding="utf-8"?>
<sst xmlns="http://schemas.openxmlformats.org/spreadsheetml/2006/main" count="104" uniqueCount="57">
  <si>
    <t>Transaction_ID</t>
  </si>
  <si>
    <t>Date</t>
  </si>
  <si>
    <t>Investor_ID</t>
  </si>
  <si>
    <t>Fund_Name</t>
  </si>
  <si>
    <t>Fund_Type</t>
  </si>
  <si>
    <t>Transaction_Type</t>
  </si>
  <si>
    <t>Amount</t>
  </si>
  <si>
    <t>Units</t>
  </si>
  <si>
    <t>NAV</t>
  </si>
  <si>
    <t>Status</t>
  </si>
  <si>
    <t>Processing_Time</t>
  </si>
  <si>
    <t>T001</t>
  </si>
  <si>
    <t>INV001</t>
  </si>
  <si>
    <t>Equity</t>
  </si>
  <si>
    <t>Growth</t>
  </si>
  <si>
    <t>SIP</t>
  </si>
  <si>
    <t>Completed</t>
  </si>
  <si>
    <t>T002</t>
  </si>
  <si>
    <t>INV002</t>
  </si>
  <si>
    <t>Debt</t>
  </si>
  <si>
    <t>Income</t>
  </si>
  <si>
    <t>T003</t>
  </si>
  <si>
    <t>INV003</t>
  </si>
  <si>
    <t>Hybrid</t>
  </si>
  <si>
    <t>Balance</t>
  </si>
  <si>
    <t>T004</t>
  </si>
  <si>
    <t>T005</t>
  </si>
  <si>
    <t>INV004</t>
  </si>
  <si>
    <t>Pending</t>
  </si>
  <si>
    <t>T006</t>
  </si>
  <si>
    <t>INV005</t>
  </si>
  <si>
    <t>T007</t>
  </si>
  <si>
    <t>INV006</t>
  </si>
  <si>
    <t>Failed</t>
  </si>
  <si>
    <t>T008</t>
  </si>
  <si>
    <t>T009</t>
  </si>
  <si>
    <t>T010</t>
  </si>
  <si>
    <t>INV007</t>
  </si>
  <si>
    <t>AUM</t>
  </si>
  <si>
    <t>Month</t>
  </si>
  <si>
    <t>Row Labels</t>
  </si>
  <si>
    <t>Grand Total</t>
  </si>
  <si>
    <t>Sum of AUM</t>
  </si>
  <si>
    <t>Count of Transaction_ID</t>
  </si>
  <si>
    <t>Jan</t>
  </si>
  <si>
    <t>Sum of Amount</t>
  </si>
  <si>
    <t>Column1</t>
  </si>
  <si>
    <t>Total AUM</t>
  </si>
  <si>
    <t>Total Transactions</t>
  </si>
  <si>
    <t>Success Rate</t>
  </si>
  <si>
    <t>Avg Processing Time</t>
  </si>
  <si>
    <t>AUM Chart</t>
  </si>
  <si>
    <t>Transaction Type</t>
  </si>
  <si>
    <t>Monthly Trend</t>
  </si>
  <si>
    <t>status</t>
  </si>
  <si>
    <t>REDEMTION</t>
  </si>
  <si>
    <t>LUMPSUM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</si>
</sst>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11"/>
      <color theme="1"/>
      <name val="Algerian"/>
      <family val="5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/>
    <xf numFmtId="10" fontId="5" fillId="0" borderId="0" xfId="0" applyNumberFormat="1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9" formatCode="dd/mm/yyyy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2.xlsx]AUM Analysis!PivotTable1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AUM by Fund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543225911194091"/>
          <c:y val="0.26997149063263642"/>
          <c:w val="0.60632194171604836"/>
          <c:h val="0.57209249705855736"/>
        </c:manualLayout>
      </c:layout>
      <c:barChart>
        <c:barDir val="bar"/>
        <c:grouping val="clustered"/>
        <c:ser>
          <c:idx val="0"/>
          <c:order val="0"/>
          <c:tx>
            <c:strRef>
              <c:f>'AUM Analysis'!$B$3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'AUM Analysis'!$A$4:$A$7</c:f>
              <c:strCache>
                <c:ptCount val="3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</c:strCache>
            </c:strRef>
          </c:cat>
          <c:val>
            <c:numRef>
              <c:f>'AUM Analysis'!$B$4:$B$7</c:f>
              <c:numCache>
                <c:formatCode>General</c:formatCode>
                <c:ptCount val="3"/>
                <c:pt idx="0">
                  <c:v>27000</c:v>
                </c:pt>
                <c:pt idx="1">
                  <c:v>30967</c:v>
                </c:pt>
                <c:pt idx="2">
                  <c:v>27010</c:v>
                </c:pt>
              </c:numCache>
            </c:numRef>
          </c:val>
        </c:ser>
        <c:axId val="14430976"/>
        <c:axId val="14432896"/>
      </c:barChart>
      <c:catAx>
        <c:axId val="14430976"/>
        <c:scaling>
          <c:orientation val="minMax"/>
        </c:scaling>
        <c:axPos val="l"/>
        <c:tickLblPos val="nextTo"/>
        <c:crossAx val="14432896"/>
        <c:crosses val="autoZero"/>
        <c:auto val="1"/>
        <c:lblAlgn val="ctr"/>
        <c:lblOffset val="100"/>
      </c:catAx>
      <c:valAx>
        <c:axId val="14432896"/>
        <c:scaling>
          <c:orientation val="minMax"/>
        </c:scaling>
        <c:axPos val="b"/>
        <c:majorGridlines/>
        <c:numFmt formatCode="General" sourceLinked="1"/>
        <c:tickLblPos val="nextTo"/>
        <c:crossAx val="14430976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2.xlsx]Transaction Breakdown!PivotTable2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Transaction Breakdown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'Transaction Breakdown'!$B$3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'Transaction Breakdown'!$A$4:$A$7</c:f>
              <c:strCache>
                <c:ptCount val="3"/>
                <c:pt idx="0">
                  <c:v>LUMPSUM</c:v>
                </c:pt>
                <c:pt idx="1">
                  <c:v>SIP</c:v>
                </c:pt>
                <c:pt idx="2">
                  <c:v>REDEMTION</c:v>
                </c:pt>
              </c:strCache>
            </c:strRef>
          </c:cat>
          <c:val>
            <c:numRef>
              <c:f>'Transaction Breakdown'!$B$4:$B$7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2.xlsx]Monthly Trend!PivotTable3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Investment Trend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'Monthly Trend'!$A$4:$A$5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'Monthly Trend'!$B$4:$B$5</c:f>
              <c:numCache>
                <c:formatCode>General</c:formatCode>
                <c:ptCount val="1"/>
                <c:pt idx="0">
                  <c:v>85000</c:v>
                </c:pt>
              </c:numCache>
            </c:numRef>
          </c:val>
        </c:ser>
        <c:marker val="1"/>
        <c:axId val="199221248"/>
        <c:axId val="199223168"/>
      </c:lineChart>
      <c:catAx>
        <c:axId val="199221248"/>
        <c:scaling>
          <c:orientation val="minMax"/>
        </c:scaling>
        <c:axPos val="b"/>
        <c:tickLblPos val="nextTo"/>
        <c:crossAx val="199223168"/>
        <c:crosses val="autoZero"/>
        <c:auto val="1"/>
        <c:lblAlgn val="ctr"/>
        <c:lblOffset val="100"/>
      </c:catAx>
      <c:valAx>
        <c:axId val="199223168"/>
        <c:scaling>
          <c:orientation val="minMax"/>
        </c:scaling>
        <c:axPos val="l"/>
        <c:majorGridlines/>
        <c:numFmt formatCode="General" sourceLinked="1"/>
        <c:tickLblPos val="nextTo"/>
        <c:crossAx val="199221248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2.xlsx]Status Report!PivotTable4</c:name>
    <c:fmtId val="2"/>
  </c:pivotSource>
  <c:chart>
    <c:title>
      <c:tx>
        <c:rich>
          <a:bodyPr/>
          <a:lstStyle/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'Status Report'!$B$3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'Status Report'!$A$4:$A$7</c:f>
              <c:strCache>
                <c:ptCount val="3"/>
                <c:pt idx="0">
                  <c:v>Completed</c:v>
                </c:pt>
                <c:pt idx="1">
                  <c:v>Failed</c:v>
                </c:pt>
                <c:pt idx="2">
                  <c:v>Pending</c:v>
                </c:pt>
              </c:strCache>
            </c:strRef>
          </c:cat>
          <c:val>
            <c:numRef>
              <c:f>'Status Report'!$B$4:$B$7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38100</xdr:rowOff>
    </xdr:from>
    <xdr:to>
      <xdr:col>8</xdr:col>
      <xdr:colOff>600075</xdr:colOff>
      <xdr:row>12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19050</xdr:rowOff>
    </xdr:from>
    <xdr:to>
      <xdr:col>8</xdr:col>
      <xdr:colOff>600075</xdr:colOff>
      <xdr:row>27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38100</xdr:colOff>
      <xdr:row>12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15</xdr:col>
      <xdr:colOff>57150</xdr:colOff>
      <xdr:row>27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19.971605787039" createdVersion="3" refreshedVersion="3" minRefreshableVersion="3" recordCount="10">
  <cacheSource type="worksheet">
    <worksheetSource name="Table1"/>
  </cacheSource>
  <cacheFields count="14">
    <cacheField name="Transaction_ID" numFmtId="0">
      <sharedItems/>
    </cacheField>
    <cacheField name="Date" numFmtId="14">
      <sharedItems containsSemiMixedTypes="0" containsNonDate="0" containsDate="1" containsString="0" minDate="2024-01-01T00:00:00" maxDate="2024-01-11T00:00:00"/>
    </cacheField>
    <cacheField name="Investor_ID" numFmtId="0">
      <sharedItems/>
    </cacheField>
    <cacheField name="Fund_Name" numFmtId="0">
      <sharedItems count="3">
        <s v="Equity"/>
        <s v="Debt"/>
        <s v="Hybrid"/>
      </sharedItems>
    </cacheField>
    <cacheField name="Fund_Type" numFmtId="0">
      <sharedItems/>
    </cacheField>
    <cacheField name="Transaction_Type" numFmtId="0">
      <sharedItems count="7">
        <s v="SIP"/>
        <s v="LUMPSUM"/>
        <s v="REDEMTION"/>
        <s v=" Redemtion" u="1"/>
        <s v=" Lumpsum" u="1"/>
        <s v=" SIP" u="1"/>
        <s v=" Redemption" u="1"/>
      </sharedItems>
    </cacheField>
    <cacheField name="Amount" numFmtId="0">
      <sharedItems containsSemiMixedTypes="0" containsString="0" containsNumber="1" containsInteger="1" minValue="3000" maxValue="20000"/>
    </cacheField>
    <cacheField name="Units" numFmtId="0">
      <sharedItems containsSemiMixedTypes="0" containsString="0" containsNumber="1" containsInteger="1" minValue="30" maxValue="200"/>
    </cacheField>
    <cacheField name="NAV" numFmtId="0">
      <sharedItems containsSemiMixedTypes="0" containsString="0" containsNumber="1" containsInteger="1" minValue="100" maxValue="109"/>
    </cacheField>
    <cacheField name="Status" numFmtId="0">
      <sharedItems count="3">
        <s v="Completed"/>
        <s v="Pending"/>
        <s v="Failed"/>
      </sharedItems>
    </cacheField>
    <cacheField name="Processing_Time" numFmtId="0">
      <sharedItems containsSemiMixedTypes="0" containsString="0" containsNumber="1" containsInteger="1" minValue="1" maxValue="4"/>
    </cacheField>
    <cacheField name="AUM" numFmtId="0">
      <sharedItems containsSemiMixedTypes="0" containsString="0" containsNumber="1" containsInteger="1" minValue="3000" maxValue="20000"/>
    </cacheField>
    <cacheField name="Month" numFmtId="0">
      <sharedItems count="1">
        <s v="Jan"/>
      </sharedItems>
    </cacheField>
    <cacheField name="Column1" numFmtId="0">
      <sharedItems containsSemiMixedTypes="0" containsString="0" containsNumber="1" containsInteger="1" minValue="84977" maxValue="8497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T001"/>
    <d v="2024-01-01T00:00:00"/>
    <s v="INV001"/>
    <x v="0"/>
    <s v="Growth"/>
    <x v="0"/>
    <n v="5000"/>
    <n v="50"/>
    <n v="100"/>
    <x v="0"/>
    <n v="1"/>
    <n v="5000"/>
    <x v="0"/>
    <n v="84977"/>
  </r>
  <r>
    <s v="T002"/>
    <d v="2024-01-02T00:00:00"/>
    <s v="INV002"/>
    <x v="1"/>
    <s v="Income"/>
    <x v="1"/>
    <n v="20000"/>
    <n v="200"/>
    <n v="100"/>
    <x v="0"/>
    <n v="2"/>
    <n v="20000"/>
    <x v="0"/>
    <n v="84977"/>
  </r>
  <r>
    <s v="T003"/>
    <d v="2024-01-03T00:00:00"/>
    <s v="INV003"/>
    <x v="2"/>
    <s v="Balance"/>
    <x v="2"/>
    <n v="8000"/>
    <n v="80"/>
    <n v="100"/>
    <x v="0"/>
    <n v="1"/>
    <n v="8000"/>
    <x v="0"/>
    <n v="84977"/>
  </r>
  <r>
    <s v="T004"/>
    <d v="2024-01-04T00:00:00"/>
    <s v="INV001"/>
    <x v="0"/>
    <s v="Growth"/>
    <x v="0"/>
    <n v="5000"/>
    <n v="48"/>
    <n v="104"/>
    <x v="0"/>
    <n v="1"/>
    <n v="4992"/>
    <x v="0"/>
    <n v="84977"/>
  </r>
  <r>
    <s v="T005"/>
    <d v="2024-01-05T00:00:00"/>
    <s v="INV004"/>
    <x v="0"/>
    <s v="Growth"/>
    <x v="1"/>
    <n v="15000"/>
    <n v="140"/>
    <n v="107"/>
    <x v="1"/>
    <n v="3"/>
    <n v="14980"/>
    <x v="0"/>
    <n v="84977"/>
  </r>
  <r>
    <s v="T006"/>
    <d v="2024-01-06T00:00:00"/>
    <s v="INV005"/>
    <x v="1"/>
    <s v="Income"/>
    <x v="0"/>
    <n v="3000"/>
    <n v="30"/>
    <n v="100"/>
    <x v="0"/>
    <n v="1"/>
    <n v="3000"/>
    <x v="0"/>
    <n v="84977"/>
  </r>
  <r>
    <s v="T007"/>
    <d v="2024-01-07T00:00:00"/>
    <s v="INV006"/>
    <x v="2"/>
    <s v="Balance"/>
    <x v="1"/>
    <n v="12000"/>
    <n v="110"/>
    <n v="109"/>
    <x v="2"/>
    <n v="4"/>
    <n v="11990"/>
    <x v="0"/>
    <n v="84977"/>
  </r>
  <r>
    <s v="T008"/>
    <d v="2024-01-08T00:00:00"/>
    <s v="INV002"/>
    <x v="0"/>
    <s v="Growth"/>
    <x v="2"/>
    <n v="6000"/>
    <n v="55"/>
    <n v="109"/>
    <x v="0"/>
    <n v="2"/>
    <n v="5995"/>
    <x v="0"/>
    <n v="84977"/>
  </r>
  <r>
    <s v="T009"/>
    <d v="2024-01-09T00:00:00"/>
    <s v="INV003"/>
    <x v="1"/>
    <s v="Income"/>
    <x v="0"/>
    <n v="4000"/>
    <n v="40"/>
    <n v="100"/>
    <x v="0"/>
    <n v="1"/>
    <n v="4000"/>
    <x v="0"/>
    <n v="84977"/>
  </r>
  <r>
    <s v="T010"/>
    <d v="2024-01-10T00:00:00"/>
    <s v="INV007"/>
    <x v="2"/>
    <s v="Balance"/>
    <x v="0"/>
    <n v="7000"/>
    <n v="65"/>
    <n v="108"/>
    <x v="1"/>
    <n v="3"/>
    <n v="7020"/>
    <x v="0"/>
    <n v="849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3:B7" firstHeaderRow="1" firstDataRow="1" firstDataCol="1"/>
  <pivotFields count="14"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UM" fld="11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14">
    <pivotField dataField="1" showAll="0"/>
    <pivotField numFmtId="14" showAll="0"/>
    <pivotField showAll="0"/>
    <pivotField showAll="0"/>
    <pivotField showAll="0"/>
    <pivotField axis="axisRow" showAll="0">
      <items count="8">
        <item m="1" x="4"/>
        <item m="1" x="6"/>
        <item m="1" x="3"/>
        <item m="1"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5"/>
  </rowFields>
  <rowItems count="4">
    <i>
      <x v="4"/>
    </i>
    <i>
      <x v="5"/>
    </i>
    <i>
      <x v="6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5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 defaultSubtotal="0"/>
  </pivotFields>
  <rowFields count="1">
    <field x="12"/>
  </rowFields>
  <rowItems count="2">
    <i>
      <x/>
    </i>
    <i t="grand">
      <x/>
    </i>
  </rowItems>
  <colItems count="1">
    <i/>
  </colItems>
  <dataFields count="1">
    <dataField name="Sum of Amount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11" totalsRowShown="0" headerRowDxfId="15" dataDxfId="6">
  <autoFilter ref="A1:N11">
    <filterColumn colId="11"/>
    <filterColumn colId="12"/>
    <filterColumn colId="13"/>
  </autoFilter>
  <tableColumns count="14">
    <tableColumn id="1" name="Transaction_ID" dataDxfId="14"/>
    <tableColumn id="2" name="Date" dataDxfId="13"/>
    <tableColumn id="3" name="Investor_ID" dataDxfId="12"/>
    <tableColumn id="4" name="Fund_Name" dataDxfId="11"/>
    <tableColumn id="5" name="Fund_Type" dataDxfId="2"/>
    <tableColumn id="6" name="Transaction_Type" dataDxfId="0"/>
    <tableColumn id="7" name="Amount" dataDxfId="1"/>
    <tableColumn id="8" name="Units" dataDxfId="10"/>
    <tableColumn id="9" name="NAV" dataDxfId="9"/>
    <tableColumn id="10" name="Status" dataDxfId="8"/>
    <tableColumn id="11" name="Processing_Time" dataDxfId="7"/>
    <tableColumn id="12" name="AUM" dataDxfId="5">
      <calculatedColumnFormula>H2*I2</calculatedColumnFormula>
    </tableColumn>
    <tableColumn id="13" name="Month" dataDxfId="4">
      <calculatedColumnFormula>TEXT(B2,"mmm")</calculatedColumnFormula>
    </tableColumn>
    <tableColumn id="14" name="Column1" dataDxfId="3">
      <calculatedColumnFormula>SUM(L:L)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selection activeCell="H19" sqref="H19"/>
    </sheetView>
  </sheetViews>
  <sheetFormatPr defaultRowHeight="15"/>
  <cols>
    <col min="1" max="1" width="16.5703125" bestFit="1" customWidth="1"/>
    <col min="2" max="2" width="10.28515625" customWidth="1"/>
    <col min="3" max="3" width="13.28515625" customWidth="1"/>
    <col min="4" max="4" width="13.85546875" customWidth="1"/>
    <col min="5" max="5" width="12.85546875" customWidth="1"/>
    <col min="6" max="6" width="25.7109375" style="2" customWidth="1"/>
    <col min="7" max="7" width="10.28515625" customWidth="1"/>
    <col min="8" max="8" width="12" bestFit="1" customWidth="1"/>
    <col min="10" max="10" width="10.85546875" bestFit="1" customWidth="1"/>
    <col min="11" max="11" width="18" customWidth="1"/>
    <col min="14" max="14" width="11.140625" bestFit="1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38</v>
      </c>
      <c r="M1" s="1" t="s">
        <v>39</v>
      </c>
      <c r="N1" s="1" t="s">
        <v>46</v>
      </c>
    </row>
    <row r="2" spans="1:14">
      <c r="A2" s="2" t="s">
        <v>11</v>
      </c>
      <c r="B2" s="3">
        <v>45292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5000</v>
      </c>
      <c r="H2" s="2">
        <v>50</v>
      </c>
      <c r="I2" s="2">
        <v>100</v>
      </c>
      <c r="J2" s="2" t="s">
        <v>16</v>
      </c>
      <c r="K2" s="2">
        <v>1</v>
      </c>
      <c r="L2" s="4">
        <f t="shared" ref="L2:L11" si="0">H2*I2</f>
        <v>5000</v>
      </c>
      <c r="M2" s="4" t="str">
        <f t="shared" ref="M2:M11" si="1">TEXT(B2,"mmm")</f>
        <v>Jan</v>
      </c>
      <c r="N2" s="4">
        <f t="shared" ref="N2:N11" si="2">SUM(L:L)</f>
        <v>84977</v>
      </c>
    </row>
    <row r="3" spans="1:14">
      <c r="A3" s="2" t="s">
        <v>17</v>
      </c>
      <c r="B3" s="3">
        <v>45293</v>
      </c>
      <c r="C3" s="2" t="s">
        <v>18</v>
      </c>
      <c r="D3" s="2" t="s">
        <v>19</v>
      </c>
      <c r="E3" s="2" t="s">
        <v>20</v>
      </c>
      <c r="F3" s="2" t="s">
        <v>56</v>
      </c>
      <c r="G3" s="2">
        <v>20000</v>
      </c>
      <c r="H3" s="2">
        <v>200</v>
      </c>
      <c r="I3" s="2">
        <v>100</v>
      </c>
      <c r="J3" s="2" t="s">
        <v>16</v>
      </c>
      <c r="K3" s="2">
        <v>2</v>
      </c>
      <c r="L3" s="4">
        <f t="shared" si="0"/>
        <v>20000</v>
      </c>
      <c r="M3" s="4" t="str">
        <f t="shared" si="1"/>
        <v>Jan</v>
      </c>
      <c r="N3" s="4">
        <f t="shared" si="2"/>
        <v>84977</v>
      </c>
    </row>
    <row r="4" spans="1:14">
      <c r="A4" s="2" t="s">
        <v>21</v>
      </c>
      <c r="B4" s="3">
        <v>45294</v>
      </c>
      <c r="C4" s="2" t="s">
        <v>22</v>
      </c>
      <c r="D4" s="2" t="s">
        <v>23</v>
      </c>
      <c r="E4" s="2" t="s">
        <v>24</v>
      </c>
      <c r="F4" s="2" t="s">
        <v>55</v>
      </c>
      <c r="G4" s="2">
        <v>8000</v>
      </c>
      <c r="H4" s="2">
        <v>80</v>
      </c>
      <c r="I4" s="2">
        <v>100</v>
      </c>
      <c r="J4" s="2" t="s">
        <v>16</v>
      </c>
      <c r="K4" s="2">
        <v>1</v>
      </c>
      <c r="L4" s="4">
        <f t="shared" si="0"/>
        <v>8000</v>
      </c>
      <c r="M4" s="4" t="str">
        <f t="shared" si="1"/>
        <v>Jan</v>
      </c>
      <c r="N4" s="4">
        <f t="shared" si="2"/>
        <v>84977</v>
      </c>
    </row>
    <row r="5" spans="1:14">
      <c r="A5" s="2" t="s">
        <v>25</v>
      </c>
      <c r="B5" s="3">
        <v>45295</v>
      </c>
      <c r="C5" s="2" t="s">
        <v>12</v>
      </c>
      <c r="D5" s="2" t="s">
        <v>13</v>
      </c>
      <c r="E5" s="2" t="s">
        <v>14</v>
      </c>
      <c r="F5" s="2" t="s">
        <v>15</v>
      </c>
      <c r="G5" s="2">
        <v>5000</v>
      </c>
      <c r="H5" s="2">
        <v>48</v>
      </c>
      <c r="I5" s="2">
        <v>104</v>
      </c>
      <c r="J5" s="2" t="s">
        <v>16</v>
      </c>
      <c r="K5" s="2">
        <v>1</v>
      </c>
      <c r="L5" s="4">
        <f t="shared" si="0"/>
        <v>4992</v>
      </c>
      <c r="M5" s="4" t="str">
        <f t="shared" si="1"/>
        <v>Jan</v>
      </c>
      <c r="N5" s="4">
        <f t="shared" si="2"/>
        <v>84977</v>
      </c>
    </row>
    <row r="6" spans="1:14">
      <c r="A6" s="2" t="s">
        <v>26</v>
      </c>
      <c r="B6" s="3">
        <v>45296</v>
      </c>
      <c r="C6" s="2" t="s">
        <v>27</v>
      </c>
      <c r="D6" s="2" t="s">
        <v>13</v>
      </c>
      <c r="E6" s="2" t="s">
        <v>14</v>
      </c>
      <c r="F6" s="2" t="s">
        <v>56</v>
      </c>
      <c r="G6" s="2">
        <v>15000</v>
      </c>
      <c r="H6" s="2">
        <v>140</v>
      </c>
      <c r="I6" s="2">
        <v>107</v>
      </c>
      <c r="J6" s="2" t="s">
        <v>28</v>
      </c>
      <c r="K6" s="2">
        <v>3</v>
      </c>
      <c r="L6" s="4">
        <f t="shared" si="0"/>
        <v>14980</v>
      </c>
      <c r="M6" s="4" t="str">
        <f t="shared" si="1"/>
        <v>Jan</v>
      </c>
      <c r="N6" s="4">
        <f t="shared" si="2"/>
        <v>84977</v>
      </c>
    </row>
    <row r="7" spans="1:14">
      <c r="A7" s="2" t="s">
        <v>29</v>
      </c>
      <c r="B7" s="3">
        <v>45297</v>
      </c>
      <c r="C7" s="2" t="s">
        <v>30</v>
      </c>
      <c r="D7" s="2" t="s">
        <v>19</v>
      </c>
      <c r="E7" s="2" t="s">
        <v>20</v>
      </c>
      <c r="F7" s="2" t="s">
        <v>15</v>
      </c>
      <c r="G7" s="2">
        <v>3000</v>
      </c>
      <c r="H7" s="2">
        <v>30</v>
      </c>
      <c r="I7" s="2">
        <v>100</v>
      </c>
      <c r="J7" s="2" t="s">
        <v>16</v>
      </c>
      <c r="K7" s="2">
        <v>1</v>
      </c>
      <c r="L7" s="4">
        <f t="shared" si="0"/>
        <v>3000</v>
      </c>
      <c r="M7" s="4" t="str">
        <f t="shared" si="1"/>
        <v>Jan</v>
      </c>
      <c r="N7" s="4">
        <f t="shared" si="2"/>
        <v>84977</v>
      </c>
    </row>
    <row r="8" spans="1:14">
      <c r="A8" s="2" t="s">
        <v>31</v>
      </c>
      <c r="B8" s="3">
        <v>45298</v>
      </c>
      <c r="C8" s="2" t="s">
        <v>32</v>
      </c>
      <c r="D8" s="2" t="s">
        <v>23</v>
      </c>
      <c r="E8" s="2" t="s">
        <v>24</v>
      </c>
      <c r="F8" s="2" t="s">
        <v>56</v>
      </c>
      <c r="G8" s="2">
        <v>12000</v>
      </c>
      <c r="H8" s="2">
        <v>110</v>
      </c>
      <c r="I8" s="2">
        <v>109</v>
      </c>
      <c r="J8" s="2" t="s">
        <v>33</v>
      </c>
      <c r="K8" s="2">
        <v>4</v>
      </c>
      <c r="L8" s="4">
        <f t="shared" si="0"/>
        <v>11990</v>
      </c>
      <c r="M8" s="4" t="str">
        <f t="shared" si="1"/>
        <v>Jan</v>
      </c>
      <c r="N8" s="4">
        <f t="shared" si="2"/>
        <v>84977</v>
      </c>
    </row>
    <row r="9" spans="1:14">
      <c r="A9" s="2" t="s">
        <v>34</v>
      </c>
      <c r="B9" s="3">
        <v>45299</v>
      </c>
      <c r="C9" s="2" t="s">
        <v>18</v>
      </c>
      <c r="D9" s="2" t="s">
        <v>13</v>
      </c>
      <c r="E9" s="2" t="s">
        <v>14</v>
      </c>
      <c r="F9" s="2" t="s">
        <v>55</v>
      </c>
      <c r="G9" s="2">
        <v>6000</v>
      </c>
      <c r="H9" s="2">
        <v>55</v>
      </c>
      <c r="I9" s="2">
        <v>109</v>
      </c>
      <c r="J9" s="2" t="s">
        <v>16</v>
      </c>
      <c r="K9" s="2">
        <v>2</v>
      </c>
      <c r="L9" s="4">
        <f t="shared" si="0"/>
        <v>5995</v>
      </c>
      <c r="M9" s="4" t="str">
        <f t="shared" si="1"/>
        <v>Jan</v>
      </c>
      <c r="N9" s="4">
        <f t="shared" si="2"/>
        <v>84977</v>
      </c>
    </row>
    <row r="10" spans="1:14">
      <c r="A10" s="2" t="s">
        <v>35</v>
      </c>
      <c r="B10" s="3">
        <v>45300</v>
      </c>
      <c r="C10" s="2" t="s">
        <v>22</v>
      </c>
      <c r="D10" s="2" t="s">
        <v>19</v>
      </c>
      <c r="E10" s="2" t="s">
        <v>20</v>
      </c>
      <c r="F10" s="2" t="s">
        <v>15</v>
      </c>
      <c r="G10" s="2">
        <v>4000</v>
      </c>
      <c r="H10" s="2">
        <v>40</v>
      </c>
      <c r="I10" s="2">
        <v>100</v>
      </c>
      <c r="J10" s="2" t="s">
        <v>16</v>
      </c>
      <c r="K10" s="2">
        <v>1</v>
      </c>
      <c r="L10" s="4">
        <f t="shared" si="0"/>
        <v>4000</v>
      </c>
      <c r="M10" s="4" t="str">
        <f t="shared" si="1"/>
        <v>Jan</v>
      </c>
      <c r="N10" s="4">
        <f t="shared" si="2"/>
        <v>84977</v>
      </c>
    </row>
    <row r="11" spans="1:14">
      <c r="A11" s="2" t="s">
        <v>36</v>
      </c>
      <c r="B11" s="3">
        <v>45301</v>
      </c>
      <c r="C11" s="2" t="s">
        <v>37</v>
      </c>
      <c r="D11" s="2" t="s">
        <v>23</v>
      </c>
      <c r="E11" s="2" t="s">
        <v>24</v>
      </c>
      <c r="F11" s="2" t="s">
        <v>15</v>
      </c>
      <c r="G11" s="2">
        <v>7000</v>
      </c>
      <c r="H11" s="2">
        <v>65</v>
      </c>
      <c r="I11" s="2">
        <v>108</v>
      </c>
      <c r="J11" s="2" t="s">
        <v>28</v>
      </c>
      <c r="K11" s="2">
        <v>3</v>
      </c>
      <c r="L11" s="4">
        <f t="shared" si="0"/>
        <v>7020</v>
      </c>
      <c r="M11" s="4" t="str">
        <f t="shared" si="1"/>
        <v>Jan</v>
      </c>
      <c r="N11" s="4">
        <f t="shared" si="2"/>
        <v>84977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E10" sqref="E10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5" t="s">
        <v>40</v>
      </c>
      <c r="B3" t="s">
        <v>42</v>
      </c>
    </row>
    <row r="4" spans="1:2">
      <c r="A4" s="6" t="s">
        <v>19</v>
      </c>
      <c r="B4" s="7">
        <v>27000</v>
      </c>
    </row>
    <row r="5" spans="1:2">
      <c r="A5" s="6" t="s">
        <v>13</v>
      </c>
      <c r="B5" s="7">
        <v>30967</v>
      </c>
    </row>
    <row r="6" spans="1:2">
      <c r="A6" s="6" t="s">
        <v>23</v>
      </c>
      <c r="B6" s="7">
        <v>27010</v>
      </c>
    </row>
    <row r="7" spans="1:2">
      <c r="A7" s="6" t="s">
        <v>41</v>
      </c>
      <c r="B7" s="7">
        <v>84977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F14" sqref="F14"/>
    </sheetView>
  </sheetViews>
  <sheetFormatPr defaultRowHeight="15"/>
  <cols>
    <col min="1" max="1" width="13.140625" customWidth="1"/>
    <col min="2" max="2" width="22.42578125" bestFit="1" customWidth="1"/>
  </cols>
  <sheetData>
    <row r="3" spans="1:2">
      <c r="A3" s="5" t="s">
        <v>40</v>
      </c>
      <c r="B3" t="s">
        <v>43</v>
      </c>
    </row>
    <row r="4" spans="1:2">
      <c r="A4" s="6" t="s">
        <v>56</v>
      </c>
      <c r="B4" s="7">
        <v>3</v>
      </c>
    </row>
    <row r="5" spans="1:2">
      <c r="A5" s="6" t="s">
        <v>15</v>
      </c>
      <c r="B5" s="7">
        <v>5</v>
      </c>
    </row>
    <row r="6" spans="1:2">
      <c r="A6" s="6" t="s">
        <v>55</v>
      </c>
      <c r="B6" s="7">
        <v>2</v>
      </c>
    </row>
    <row r="7" spans="1:2">
      <c r="A7" s="6" t="s">
        <v>41</v>
      </c>
      <c r="B7" s="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I8" sqref="I8"/>
    </sheetView>
  </sheetViews>
  <sheetFormatPr defaultRowHeight="15"/>
  <cols>
    <col min="1" max="1" width="13.140625" bestFit="1" customWidth="1"/>
    <col min="2" max="2" width="14.85546875" bestFit="1" customWidth="1"/>
  </cols>
  <sheetData>
    <row r="3" spans="1:2">
      <c r="A3" s="5" t="s">
        <v>40</v>
      </c>
      <c r="B3" t="s">
        <v>45</v>
      </c>
    </row>
    <row r="4" spans="1:2">
      <c r="A4" s="6" t="s">
        <v>44</v>
      </c>
      <c r="B4" s="7">
        <v>85000</v>
      </c>
    </row>
    <row r="5" spans="1:2">
      <c r="A5" s="6" t="s">
        <v>41</v>
      </c>
      <c r="B5" s="7">
        <v>85000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G26" sqref="G26"/>
    </sheetView>
  </sheetViews>
  <sheetFormatPr defaultRowHeight="15"/>
  <cols>
    <col min="1" max="1" width="13.140625" bestFit="1" customWidth="1"/>
    <col min="2" max="2" width="22.42578125" bestFit="1" customWidth="1"/>
  </cols>
  <sheetData>
    <row r="3" spans="1:2">
      <c r="A3" s="5" t="s">
        <v>40</v>
      </c>
      <c r="B3" t="s">
        <v>43</v>
      </c>
    </row>
    <row r="4" spans="1:2">
      <c r="A4" s="6" t="s">
        <v>16</v>
      </c>
      <c r="B4" s="7">
        <v>7</v>
      </c>
    </row>
    <row r="5" spans="1:2">
      <c r="A5" s="6" t="s">
        <v>33</v>
      </c>
      <c r="B5" s="7">
        <v>1</v>
      </c>
    </row>
    <row r="6" spans="1:2">
      <c r="A6" s="6" t="s">
        <v>28</v>
      </c>
      <c r="B6" s="7">
        <v>2</v>
      </c>
    </row>
    <row r="7" spans="1:2">
      <c r="A7" s="6" t="s">
        <v>41</v>
      </c>
      <c r="B7" s="7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showGridLines="0" tabSelected="1" zoomScale="85" zoomScaleNormal="85" workbookViewId="0">
      <selection activeCell="H49" sqref="H49"/>
    </sheetView>
  </sheetViews>
  <sheetFormatPr defaultRowHeight="15"/>
  <cols>
    <col min="1" max="1" width="27.140625" bestFit="1" customWidth="1"/>
    <col min="2" max="2" width="9.140625" style="12"/>
    <col min="5" max="5" width="19.28515625" style="1" bestFit="1" customWidth="1"/>
  </cols>
  <sheetData>
    <row r="1" spans="1:15" ht="15.75">
      <c r="A1" s="10" t="s">
        <v>47</v>
      </c>
      <c r="B1" s="10">
        <f>SUM(Transactions_Data!L2:L11)</f>
        <v>84977</v>
      </c>
      <c r="E1" s="13" t="s">
        <v>51</v>
      </c>
      <c r="F1" s="13"/>
      <c r="G1" s="13"/>
      <c r="H1" s="13"/>
      <c r="I1" s="13"/>
      <c r="K1" s="13" t="s">
        <v>53</v>
      </c>
      <c r="L1" s="13"/>
      <c r="M1" s="13"/>
      <c r="N1" s="13"/>
      <c r="O1" s="13"/>
    </row>
    <row r="2" spans="1:15">
      <c r="A2" s="10" t="s">
        <v>48</v>
      </c>
      <c r="B2" s="10">
        <f>COUNTA(Transactions_Data!A2:A11)</f>
        <v>10</v>
      </c>
    </row>
    <row r="3" spans="1:15">
      <c r="A3" s="10" t="s">
        <v>49</v>
      </c>
      <c r="B3" s="11">
        <f>COUNTIF(Transactions_Data!J2:J11,"Completed")/COUNTA(Transactions_Data!A2:A11)</f>
        <v>0.7</v>
      </c>
    </row>
    <row r="4" spans="1:15">
      <c r="A4" s="10" t="s">
        <v>50</v>
      </c>
      <c r="B4" s="10">
        <f>AVERAGE(Transactions_Data!K2:K11)</f>
        <v>1.9</v>
      </c>
    </row>
    <row r="15" spans="1:15" ht="16.5" customHeight="1">
      <c r="E15" s="14" t="s">
        <v>52</v>
      </c>
      <c r="F15" s="14"/>
      <c r="G15" s="14"/>
      <c r="H15" s="14"/>
      <c r="I15" s="14"/>
      <c r="K15" s="14" t="s">
        <v>54</v>
      </c>
      <c r="L15" s="14"/>
      <c r="M15" s="14"/>
      <c r="N15" s="14"/>
      <c r="O15" s="14"/>
    </row>
    <row r="16" spans="1:15" ht="15" customHeight="1">
      <c r="K16" s="9"/>
      <c r="L16" s="9"/>
      <c r="M16" s="9"/>
      <c r="N16" s="9"/>
      <c r="O16" s="9"/>
    </row>
  </sheetData>
  <mergeCells count="4">
    <mergeCell ref="E1:I1"/>
    <mergeCell ref="E15:I15"/>
    <mergeCell ref="K1:O1"/>
    <mergeCell ref="K15:O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Transactions_Data</vt:lpstr>
      <vt:lpstr>AUM Analysis</vt:lpstr>
      <vt:lpstr>Transaction Breakdown</vt:lpstr>
      <vt:lpstr>Monthly Trend</vt:lpstr>
      <vt:lpstr>Status Report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2026-04-07T16:40:56Z</dcterms:created>
  <dcterms:modified xsi:type="dcterms:W3CDTF">2026-04-07T18:13:26Z</dcterms:modified>
</cp:coreProperties>
</file>